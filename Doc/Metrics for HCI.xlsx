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el\Downloads\"/>
    </mc:Choice>
  </mc:AlternateContent>
  <xr:revisionPtr revIDLastSave="0" documentId="13_ncr:1_{F1D29F00-8F8A-4614-92FA-E9325AF97E3E}" xr6:coauthVersionLast="47" xr6:coauthVersionMax="47" xr10:uidLastSave="{00000000-0000-0000-0000-000000000000}"/>
  <bookViews>
    <workbookView xWindow="28680" yWindow="825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13" i="1" l="1"/>
  <c r="F28" i="1"/>
  <c r="F27" i="1"/>
  <c r="F26" i="1"/>
  <c r="F25" i="1"/>
  <c r="F24" i="1"/>
  <c r="F23" i="1"/>
  <c r="F22" i="1"/>
  <c r="F21" i="1"/>
  <c r="E28" i="1"/>
  <c r="E27" i="1"/>
  <c r="E26" i="1"/>
  <c r="E25" i="1"/>
  <c r="E24" i="1"/>
  <c r="E23" i="1"/>
  <c r="E22" i="1"/>
  <c r="E21" i="1"/>
  <c r="D33" i="1"/>
  <c r="D32" i="1"/>
  <c r="D31" i="1"/>
  <c r="B40" i="1"/>
  <c r="C32" i="1"/>
  <c r="C33" i="1"/>
  <c r="C31" i="1"/>
</calcChain>
</file>

<file path=xl/sharedStrings.xml><?xml version="1.0" encoding="utf-8"?>
<sst xmlns="http://schemas.openxmlformats.org/spreadsheetml/2006/main" count="99" uniqueCount="71">
  <si>
    <t>Tester</t>
  </si>
  <si>
    <t xml:space="preserve">Time to complete a task </t>
  </si>
  <si>
    <t xml:space="preserve">Number and type of errors per task. </t>
  </si>
  <si>
    <t xml:space="preserve">Number of errors per unit of time. </t>
  </si>
  <si>
    <t xml:space="preserve">Number of navigations to online help or manuals. </t>
  </si>
  <si>
    <t>Task 1</t>
  </si>
  <si>
    <t>Task 2</t>
  </si>
  <si>
    <t>Task 3</t>
  </si>
  <si>
    <t>41 seconds</t>
  </si>
  <si>
    <t>36 seconds</t>
  </si>
  <si>
    <t>35 seconds</t>
  </si>
  <si>
    <t xml:space="preserve"> Between 1 to 2 – Usage Error</t>
  </si>
  <si>
    <t>2 / 30s</t>
  </si>
  <si>
    <t>-</t>
  </si>
  <si>
    <t>43 seconds</t>
  </si>
  <si>
    <t>49 seconds</t>
  </si>
  <si>
    <t>67 seconds</t>
  </si>
  <si>
    <t>3 – Detection Error</t>
  </si>
  <si>
    <t>2/ 45s</t>
  </si>
  <si>
    <t>38 seconds</t>
  </si>
  <si>
    <t>39 seconds</t>
  </si>
  <si>
    <t>66 seconds</t>
  </si>
  <si>
    <t>4 – Detection + User Error</t>
  </si>
  <si>
    <t>3/ 25s</t>
  </si>
  <si>
    <t>55 seconds</t>
  </si>
  <si>
    <t>62 seconds</t>
  </si>
  <si>
    <t>44 seconds</t>
  </si>
  <si>
    <t>2 - User Error</t>
  </si>
  <si>
    <t>2/30s</t>
  </si>
  <si>
    <t>71 seconds</t>
  </si>
  <si>
    <t>2 – Detection Error</t>
  </si>
  <si>
    <t>1/60s</t>
  </si>
  <si>
    <t>30 seconds</t>
  </si>
  <si>
    <t>34 seconds</t>
  </si>
  <si>
    <t>115 seconds</t>
  </si>
  <si>
    <t>1 – Detection Error</t>
  </si>
  <si>
    <t>37 seconds</t>
  </si>
  <si>
    <t>56 seconds</t>
  </si>
  <si>
    <t>None</t>
  </si>
  <si>
    <t>32 seconds</t>
  </si>
  <si>
    <t>2/20s</t>
  </si>
  <si>
    <t>Source of Variation</t>
  </si>
  <si>
    <t>Sum of Squares (SS)</t>
  </si>
  <si>
    <t>Degrees of Freedom (df)</t>
  </si>
  <si>
    <t>Mean Square (MS)</t>
  </si>
  <si>
    <t>F-value</t>
  </si>
  <si>
    <t>p-value</t>
  </si>
  <si>
    <t>Between Tasks</t>
  </si>
  <si>
    <t>Between Subjects</t>
  </si>
  <si>
    <t>Error (Residual)</t>
  </si>
  <si>
    <t>Total</t>
  </si>
  <si>
    <t>Task</t>
  </si>
  <si>
    <t>Avg Time (s)</t>
  </si>
  <si>
    <t>Error Type</t>
  </si>
  <si>
    <t>Count</t>
  </si>
  <si>
    <t>Detection Error</t>
  </si>
  <si>
    <t>User/Usage Error</t>
  </si>
  <si>
    <t>Mixed</t>
  </si>
  <si>
    <t>Error Count</t>
  </si>
  <si>
    <t>Tester 1</t>
  </si>
  <si>
    <t>Tester 2</t>
  </si>
  <si>
    <t>Tester 3</t>
  </si>
  <si>
    <t>Tester 4</t>
  </si>
  <si>
    <t>Tester 5</t>
  </si>
  <si>
    <t>Tester 6</t>
  </si>
  <si>
    <t>Tester 7</t>
  </si>
  <si>
    <t>Tester 8</t>
  </si>
  <si>
    <t>Varience</t>
  </si>
  <si>
    <t>SUM of time taken to do all the tasks</t>
  </si>
  <si>
    <t>Average time taken to do all the tasks</t>
  </si>
  <si>
    <t>F-crit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</si>
</sst>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name val="Calibri"/>
      <family val="2"/>
      <charset val="1"/>
    </font>
    <font>
      <sz val="10"/>
      <name val="Times New Roman"/>
      <family val="1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3" fillId="2" borderId="0" xfId="1"/>
    <xf numFmtId="0" fontId="3" fillId="2" borderId="0" xfId="1" applyAlignment="1">
      <alignment horizontal="center"/>
    </xf>
    <xf numFmtId="0" fontId="3" fillId="2" borderId="0" xfId="1" applyAlignment="1">
      <alignment wrapText="1"/>
    </xf>
    <xf numFmtId="0" fontId="3" fillId="3" borderId="0" xfId="2" applyAlignment="1">
      <alignment horizontal="center"/>
    </xf>
    <xf numFmtId="0" fontId="3" fillId="2" borderId="0" xfId="1" applyAlignment="1">
      <alignment horizontal="center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Task</a:t>
            </a:r>
            <a:r>
              <a:rPr lang="en-US" baseline="0"/>
              <a:t> Completion Time By Tester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Task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Sheet1!$A$21:$A$28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Sheet1!$B$21:$B$28</c:f>
              <c:numCache>
                <c:formatCode>General</c:formatCode>
                <c:ptCount val="8"/>
                <c:pt idx="0">
                  <c:v>41</c:v>
                </c:pt>
                <c:pt idx="1">
                  <c:v>43</c:v>
                </c:pt>
                <c:pt idx="2">
                  <c:v>38</c:v>
                </c:pt>
                <c:pt idx="3">
                  <c:v>55</c:v>
                </c:pt>
                <c:pt idx="4">
                  <c:v>71</c:v>
                </c:pt>
                <c:pt idx="5">
                  <c:v>30</c:v>
                </c:pt>
                <c:pt idx="6">
                  <c:v>37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D-422A-A897-F83DF039B44C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Task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Sheet1!$A$21:$A$28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Sheet1!$C$21:$C$28</c:f>
              <c:numCache>
                <c:formatCode>General</c:formatCode>
                <c:ptCount val="8"/>
                <c:pt idx="0">
                  <c:v>36</c:v>
                </c:pt>
                <c:pt idx="1">
                  <c:v>49</c:v>
                </c:pt>
                <c:pt idx="2">
                  <c:v>39</c:v>
                </c:pt>
                <c:pt idx="3">
                  <c:v>62</c:v>
                </c:pt>
                <c:pt idx="4">
                  <c:v>36</c:v>
                </c:pt>
                <c:pt idx="5">
                  <c:v>34</c:v>
                </c:pt>
                <c:pt idx="6">
                  <c:v>56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D-422A-A897-F83DF039B44C}"/>
            </c:ext>
          </c:extLst>
        </c:ser>
        <c:ser>
          <c:idx val="2"/>
          <c:order val="2"/>
          <c:tx>
            <c:strRef>
              <c:f>Sheet1!$D$20</c:f>
              <c:strCache>
                <c:ptCount val="1"/>
                <c:pt idx="0">
                  <c:v>Task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Sheet1!$A$21:$A$28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Sheet1!$D$21:$D$28</c:f>
              <c:numCache>
                <c:formatCode>General</c:formatCode>
                <c:ptCount val="8"/>
                <c:pt idx="0">
                  <c:v>35</c:v>
                </c:pt>
                <c:pt idx="1">
                  <c:v>67</c:v>
                </c:pt>
                <c:pt idx="2">
                  <c:v>66</c:v>
                </c:pt>
                <c:pt idx="3">
                  <c:v>44</c:v>
                </c:pt>
                <c:pt idx="4">
                  <c:v>67</c:v>
                </c:pt>
                <c:pt idx="5">
                  <c:v>115</c:v>
                </c:pt>
                <c:pt idx="6">
                  <c:v>35</c:v>
                </c:pt>
                <c:pt idx="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D-422A-A897-F83DF039B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1066304"/>
        <c:axId val="1298988112"/>
      </c:barChart>
      <c:catAx>
        <c:axId val="9710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88112"/>
        <c:crosses val="autoZero"/>
        <c:auto val="1"/>
        <c:lblAlgn val="ctr"/>
        <c:lblOffset val="100"/>
        <c:noMultiLvlLbl val="0"/>
      </c:catAx>
      <c:valAx>
        <c:axId val="129898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6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Time per Task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Avg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Sheet1!$B$31:$B$33</c:f>
              <c:strCache>
                <c:ptCount val="3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</c:strCache>
            </c:strRef>
          </c:cat>
          <c:val>
            <c:numRef>
              <c:f>Sheet1!$C$31:$C$33</c:f>
              <c:numCache>
                <c:formatCode>General</c:formatCode>
                <c:ptCount val="3"/>
                <c:pt idx="0">
                  <c:v>43.375</c:v>
                </c:pt>
                <c:pt idx="1">
                  <c:v>43.375</c:v>
                </c:pt>
                <c:pt idx="2">
                  <c:v>61.875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0-418B-8415-EF4C945D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7857824"/>
        <c:axId val="1527858304"/>
      </c:barChart>
      <c:catAx>
        <c:axId val="15278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58304"/>
        <c:crosses val="autoZero"/>
        <c:auto val="1"/>
        <c:lblAlgn val="ctr"/>
        <c:lblOffset val="100"/>
        <c:noMultiLvlLbl val="0"/>
      </c:catAx>
      <c:valAx>
        <c:axId val="15278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5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Type Distripution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Sheet1!$A$36:$A$40</c:f>
              <c:strCache>
                <c:ptCount val="5"/>
                <c:pt idx="0">
                  <c:v>Detection Error</c:v>
                </c:pt>
                <c:pt idx="1">
                  <c:v>User/Usage Error</c:v>
                </c:pt>
                <c:pt idx="2">
                  <c:v>Mixed</c:v>
                </c:pt>
                <c:pt idx="3">
                  <c:v>None</c:v>
                </c:pt>
                <c:pt idx="4">
                  <c:v>Total</c:v>
                </c:pt>
              </c:strCache>
            </c:strRef>
          </c:cat>
          <c:val>
            <c:numRef>
              <c:f>Sheet1!$B$36:$B$40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A-4ED1-9886-5D3BC96B8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Per Tester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Sheet1!$A$44</c:f>
              <c:strCache>
                <c:ptCount val="1"/>
                <c:pt idx="0">
                  <c:v>Tester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Sheet1!$B$44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E-4363-B786-9681FECA29BA}"/>
            </c:ext>
          </c:extLst>
        </c:ser>
        <c:ser>
          <c:idx val="1"/>
          <c:order val="1"/>
          <c:tx>
            <c:strRef>
              <c:f>Sheet1!$A$45</c:f>
              <c:strCache>
                <c:ptCount val="1"/>
                <c:pt idx="0">
                  <c:v>Tester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Sheet1!$B$45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E-4363-B786-9681FECA29BA}"/>
            </c:ext>
          </c:extLst>
        </c:ser>
        <c:ser>
          <c:idx val="2"/>
          <c:order val="2"/>
          <c:tx>
            <c:strRef>
              <c:f>Sheet1!$A$46</c:f>
              <c:strCache>
                <c:ptCount val="1"/>
                <c:pt idx="0">
                  <c:v>Tester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Sheet1!$B$46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E-4363-B786-9681FECA29BA}"/>
            </c:ext>
          </c:extLst>
        </c:ser>
        <c:ser>
          <c:idx val="3"/>
          <c:order val="3"/>
          <c:tx>
            <c:strRef>
              <c:f>Sheet1!$A$47</c:f>
              <c:strCache>
                <c:ptCount val="1"/>
                <c:pt idx="0">
                  <c:v>Tester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Sheet1!$B$47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BE-4363-B786-9681FECA29BA}"/>
            </c:ext>
          </c:extLst>
        </c:ser>
        <c:ser>
          <c:idx val="4"/>
          <c:order val="4"/>
          <c:tx>
            <c:strRef>
              <c:f>Sheet1!$A$48</c:f>
              <c:strCache>
                <c:ptCount val="1"/>
                <c:pt idx="0">
                  <c:v>Tester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Sheet1!$B$48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BE-4363-B786-9681FECA29BA}"/>
            </c:ext>
          </c:extLst>
        </c:ser>
        <c:ser>
          <c:idx val="5"/>
          <c:order val="5"/>
          <c:tx>
            <c:strRef>
              <c:f>Sheet1!$A$49</c:f>
              <c:strCache>
                <c:ptCount val="1"/>
                <c:pt idx="0">
                  <c:v>Tester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Sheet1!$B$49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BE-4363-B786-9681FECA29BA}"/>
            </c:ext>
          </c:extLst>
        </c:ser>
        <c:ser>
          <c:idx val="6"/>
          <c:order val="6"/>
          <c:tx>
            <c:strRef>
              <c:f>Sheet1!$A$50</c:f>
              <c:strCache>
                <c:ptCount val="1"/>
                <c:pt idx="0">
                  <c:v>Tester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BE-4363-B786-9681FECA29BA}"/>
            </c:ext>
          </c:extLst>
        </c:ser>
        <c:ser>
          <c:idx val="7"/>
          <c:order val="7"/>
          <c:tx>
            <c:strRef>
              <c:f>Sheet1!$A$51</c:f>
              <c:strCache>
                <c:ptCount val="1"/>
                <c:pt idx="0">
                  <c:v>Tester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Sheet1!$B$43</c:f>
              <c:strCache>
                <c:ptCount val="1"/>
                <c:pt idx="0">
                  <c:v>Error Count</c:v>
                </c:pt>
              </c:strCache>
            </c:strRef>
          </c:cat>
          <c:val>
            <c:numRef>
              <c:f>Sheet1!$B$51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BE-4363-B786-9681FECA2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7213487"/>
        <c:axId val="1417216847"/>
      </c:barChart>
      <c:catAx>
        <c:axId val="141721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16847"/>
        <c:crosses val="autoZero"/>
        <c:auto val="1"/>
        <c:lblAlgn val="ctr"/>
        <c:lblOffset val="100"/>
        <c:noMultiLvlLbl val="0"/>
      </c:catAx>
      <c:valAx>
        <c:axId val="141721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time to make the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Sheet1!$E$21</c:f>
              <c:numCache>
                <c:formatCode>General</c:formatCode>
                <c:ptCount val="1"/>
                <c:pt idx="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2-4955-9A11-7FD55AF27227}"/>
            </c:ext>
          </c:extLst>
        </c:ser>
        <c:ser>
          <c:idx val="1"/>
          <c:order val="1"/>
          <c:tx>
            <c:strRef>
              <c:f>Sheet1!$A$22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Sheet1!$E$22</c:f>
              <c:numCache>
                <c:formatCode>General</c:formatCode>
                <c:ptCount val="1"/>
                <c:pt idx="0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2-4955-9A11-7FD55AF27227}"/>
            </c:ext>
          </c:extLst>
        </c:ser>
        <c:ser>
          <c:idx val="2"/>
          <c:order val="2"/>
          <c:tx>
            <c:strRef>
              <c:f>Sheet1!$A$23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Sheet1!$E$23</c:f>
              <c:numCache>
                <c:formatCode>General</c:formatCode>
                <c:ptCount val="1"/>
                <c:pt idx="0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F2-4955-9A11-7FD55AF27227}"/>
            </c:ext>
          </c:extLst>
        </c:ser>
        <c:ser>
          <c:idx val="3"/>
          <c:order val="3"/>
          <c:tx>
            <c:strRef>
              <c:f>Sheet1!$A$24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Sheet1!$E$24</c:f>
              <c:numCache>
                <c:formatCode>General</c:formatCode>
                <c:ptCount val="1"/>
                <c:pt idx="0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F2-4955-9A11-7FD55AF27227}"/>
            </c:ext>
          </c:extLst>
        </c:ser>
        <c:ser>
          <c:idx val="4"/>
          <c:order val="4"/>
          <c:tx>
            <c:strRef>
              <c:f>Sheet1!$A$25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Sheet1!$E$25</c:f>
              <c:numCache>
                <c:formatCode>General</c:formatCode>
                <c:ptCount val="1"/>
                <c:pt idx="0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F2-4955-9A11-7FD55AF27227}"/>
            </c:ext>
          </c:extLst>
        </c:ser>
        <c:ser>
          <c:idx val="5"/>
          <c:order val="5"/>
          <c:tx>
            <c:strRef>
              <c:f>Sheet1!$A$26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Sheet1!$E$26</c:f>
              <c:numCache>
                <c:formatCode>General</c:formatCode>
                <c:ptCount val="1"/>
                <c:pt idx="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F2-4955-9A11-7FD55AF27227}"/>
            </c:ext>
          </c:extLst>
        </c:ser>
        <c:ser>
          <c:idx val="6"/>
          <c:order val="6"/>
          <c:tx>
            <c:strRef>
              <c:f>Sheet1!$A$27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Sheet1!$E$27</c:f>
              <c:numCache>
                <c:formatCode>General</c:formatCode>
                <c:ptCount val="1"/>
                <c:pt idx="0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F2-4955-9A11-7FD55AF27227}"/>
            </c:ext>
          </c:extLst>
        </c:ser>
        <c:ser>
          <c:idx val="7"/>
          <c:order val="7"/>
          <c:tx>
            <c:strRef>
              <c:f>Sheet1!$A$28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Sheet1!$E$28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F2-4955-9A11-7FD55AF2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283632"/>
        <c:axId val="1537284112"/>
      </c:barChart>
      <c:catAx>
        <c:axId val="153728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84112"/>
        <c:crosses val="autoZero"/>
        <c:auto val="1"/>
        <c:lblAlgn val="ctr"/>
        <c:lblOffset val="100"/>
        <c:noMultiLvlLbl val="0"/>
      </c:catAx>
      <c:valAx>
        <c:axId val="15372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8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Sheet1!$F$20</c:f>
              <c:strCache>
                <c:ptCount val="1"/>
                <c:pt idx="0">
                  <c:v>Average time taken to do all the tasks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Sheet1!$A$21:$A$28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Sheet1!$F$21:$F$28</c:f>
              <c:numCache>
                <c:formatCode>General</c:formatCode>
                <c:ptCount val="8"/>
                <c:pt idx="0">
                  <c:v>37.333333333333336</c:v>
                </c:pt>
                <c:pt idx="1">
                  <c:v>53</c:v>
                </c:pt>
                <c:pt idx="2">
                  <c:v>47.666666666666664</c:v>
                </c:pt>
                <c:pt idx="3">
                  <c:v>53.666666666666664</c:v>
                </c:pt>
                <c:pt idx="4">
                  <c:v>58</c:v>
                </c:pt>
                <c:pt idx="5">
                  <c:v>59.666666666666664</c:v>
                </c:pt>
                <c:pt idx="6">
                  <c:v>42.666666666666664</c:v>
                </c:pt>
                <c:pt idx="7">
                  <c:v>44.333333333333336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F-4033-A425-453805842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970448"/>
        <c:axId val="1400126208"/>
      </c:barChart>
      <c:catAx>
        <c:axId val="153497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26208"/>
        <c:crosses val="autoZero"/>
        <c:auto val="1"/>
        <c:lblAlgn val="ctr"/>
        <c:lblOffset val="100"/>
        <c:noMultiLvlLbl val="0"/>
      </c:catAx>
      <c:valAx>
        <c:axId val="14001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7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total time tester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Task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Sheet1!$A$54:$A$61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Sheet1!$B$54:$B$61</c:f>
              <c:numCache>
                <c:formatCode>General</c:formatCode>
                <c:ptCount val="8"/>
                <c:pt idx="0">
                  <c:v>41</c:v>
                </c:pt>
                <c:pt idx="1">
                  <c:v>43</c:v>
                </c:pt>
                <c:pt idx="2">
                  <c:v>38</c:v>
                </c:pt>
                <c:pt idx="3">
                  <c:v>55</c:v>
                </c:pt>
                <c:pt idx="4">
                  <c:v>71</c:v>
                </c:pt>
                <c:pt idx="5">
                  <c:v>30</c:v>
                </c:pt>
                <c:pt idx="6">
                  <c:v>37</c:v>
                </c:pt>
                <c:pt idx="7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7-4748-8206-985274AD37CD}"/>
            </c:ext>
          </c:extLst>
        </c:ser>
        <c:ser>
          <c:idx val="1"/>
          <c:order val="1"/>
          <c:tx>
            <c:strRef>
              <c:f>Sheet1!$C$53</c:f>
              <c:strCache>
                <c:ptCount val="1"/>
                <c:pt idx="0">
                  <c:v>Task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Sheet1!$A$54:$A$61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Sheet1!$C$54:$C$61</c:f>
              <c:numCache>
                <c:formatCode>General</c:formatCode>
                <c:ptCount val="8"/>
                <c:pt idx="0">
                  <c:v>36</c:v>
                </c:pt>
                <c:pt idx="1">
                  <c:v>49</c:v>
                </c:pt>
                <c:pt idx="2">
                  <c:v>39</c:v>
                </c:pt>
                <c:pt idx="3">
                  <c:v>62</c:v>
                </c:pt>
                <c:pt idx="4">
                  <c:v>36</c:v>
                </c:pt>
                <c:pt idx="5">
                  <c:v>34</c:v>
                </c:pt>
                <c:pt idx="6">
                  <c:v>56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7-4748-8206-985274AD37CD}"/>
            </c:ext>
          </c:extLst>
        </c:ser>
        <c:ser>
          <c:idx val="2"/>
          <c:order val="2"/>
          <c:tx>
            <c:strRef>
              <c:f>Sheet1!$D$53</c:f>
              <c:strCache>
                <c:ptCount val="1"/>
                <c:pt idx="0">
                  <c:v>Task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Sheet1!$A$54:$A$61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Sheet1!$D$54:$D$61</c:f>
              <c:numCache>
                <c:formatCode>General</c:formatCode>
                <c:ptCount val="8"/>
                <c:pt idx="0">
                  <c:v>35</c:v>
                </c:pt>
                <c:pt idx="1">
                  <c:v>67</c:v>
                </c:pt>
                <c:pt idx="2">
                  <c:v>66</c:v>
                </c:pt>
                <c:pt idx="3">
                  <c:v>44</c:v>
                </c:pt>
                <c:pt idx="4">
                  <c:v>67</c:v>
                </c:pt>
                <c:pt idx="5">
                  <c:v>115</c:v>
                </c:pt>
                <c:pt idx="6">
                  <c:v>35</c:v>
                </c:pt>
                <c:pt idx="7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7-4748-8206-985274AD3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767600"/>
        <c:axId val="1636770000"/>
      </c:lineChart>
      <c:catAx>
        <c:axId val="163676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70000"/>
        <c:crosses val="autoZero"/>
        <c:auto val="1"/>
        <c:lblAlgn val="ctr"/>
        <c:lblOffset val="100"/>
        <c:noMultiLvlLbl val="0"/>
      </c:catAx>
      <c:valAx>
        <c:axId val="16367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240723</xdr:colOff>
      <xdr:row>14</xdr:row>
      <xdr:rowOff>345498</xdr:rowOff>
    </xdr:from>
    <xdr:to>
      <xdr:col>22</xdr:col>
      <xdr:colOff>183573</xdr:colOff>
      <xdr:row>31</xdr:row>
      <xdr:rowOff>41563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892C01-B5E8-661A-5489-B7EAC1C7B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182274</xdr:colOff>
      <xdr:row>1</xdr:row>
      <xdr:rowOff>160193</xdr:rowOff>
    </xdr:from>
    <xdr:to>
      <xdr:col>22</xdr:col>
      <xdr:colOff>125124</xdr:colOff>
      <xdr:row>14</xdr:row>
      <xdr:rowOff>117763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390084-84AC-431A-2CB2-0D5A8511B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755505</xdr:colOff>
      <xdr:row>14</xdr:row>
      <xdr:rowOff>358486</xdr:rowOff>
    </xdr:from>
    <xdr:to>
      <xdr:col>15</xdr:col>
      <xdr:colOff>698355</xdr:colOff>
      <xdr:row>31</xdr:row>
      <xdr:rowOff>54552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D9A883-BC3C-8115-54F8-CA1CB366D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195263</xdr:colOff>
      <xdr:row>33</xdr:row>
      <xdr:rowOff>64077</xdr:rowOff>
    </xdr:from>
    <xdr:to>
      <xdr:col>22</xdr:col>
      <xdr:colOff>130320</xdr:colOff>
      <xdr:row>50</xdr:row>
      <xdr:rowOff>54552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2C8344-787E-6C47-A48F-90D7087CD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127721</xdr:colOff>
      <xdr:row>1</xdr:row>
      <xdr:rowOff>139412</xdr:rowOff>
    </xdr:from>
    <xdr:to>
      <xdr:col>16</xdr:col>
      <xdr:colOff>46326</xdr:colOff>
      <xdr:row>14</xdr:row>
      <xdr:rowOff>25977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153E7F-78E7-83DD-83B6-C8BF1B1A5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738187</xdr:colOff>
      <xdr:row>32</xdr:row>
      <xdr:rowOff>47625</xdr:rowOff>
    </xdr:from>
    <xdr:to>
      <xdr:col>15</xdr:col>
      <xdr:colOff>681037</xdr:colOff>
      <xdr:row>49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50A646-9EDB-495E-F396-8F192DA3F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42862</xdr:colOff>
      <xdr:row>50</xdr:row>
      <xdr:rowOff>19050</xdr:rowOff>
    </xdr:from>
    <xdr:to>
      <xdr:col>15</xdr:col>
      <xdr:colOff>757237</xdr:colOff>
      <xdr:row>67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064F1A-0592-8180-4A7E-373FE9827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zoomScaleNormal="100" workbookViewId="0">
      <selection activeCell="G32" sqref="G32"/>
    </sheetView>
  </sheetViews>
  <sheetFormatPr defaultColWidth="11.5703125" defaultRowHeight="12.75" x14ac:dyDescent="0.2"/>
  <cols>
    <col min="2" max="2" width="18.85546875" customWidth="1"/>
    <col min="3" max="3" width="19.85546875" customWidth="1"/>
    <col min="4" max="4" width="16.28515625" customWidth="1"/>
    <col min="5" max="5" width="26.28515625" customWidth="1"/>
    <col min="6" max="6" width="18.140625" customWidth="1"/>
    <col min="7" max="7" width="24.5703125" customWidth="1"/>
    <col min="8" max="8" width="13.42578125" customWidth="1"/>
  </cols>
  <sheetData>
    <row r="1" spans="1:8" ht="32.1" customHeight="1" x14ac:dyDescent="0.2">
      <c r="A1" s="7" t="s">
        <v>0</v>
      </c>
      <c r="B1" s="8" t="s">
        <v>1</v>
      </c>
      <c r="C1" s="8"/>
      <c r="D1" s="8"/>
      <c r="E1" s="9" t="s">
        <v>2</v>
      </c>
      <c r="F1" s="9" t="s">
        <v>3</v>
      </c>
      <c r="G1" s="9" t="s">
        <v>4</v>
      </c>
      <c r="H1" s="4"/>
    </row>
    <row r="2" spans="1:8" ht="15.6" customHeight="1" x14ac:dyDescent="0.25">
      <c r="A2" s="1"/>
      <c r="B2" s="10" t="s">
        <v>5</v>
      </c>
      <c r="C2" s="10" t="s">
        <v>6</v>
      </c>
      <c r="D2" s="10" t="s">
        <v>7</v>
      </c>
      <c r="E2" s="3"/>
      <c r="F2" s="3"/>
      <c r="G2" s="3"/>
      <c r="H2" s="4"/>
    </row>
    <row r="3" spans="1:8" x14ac:dyDescent="0.2">
      <c r="A3">
        <v>1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 spans="1:8" x14ac:dyDescent="0.2">
      <c r="A4">
        <v>2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13</v>
      </c>
    </row>
    <row r="5" spans="1:8" x14ac:dyDescent="0.2">
      <c r="A5">
        <v>3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13</v>
      </c>
    </row>
    <row r="6" spans="1:8" x14ac:dyDescent="0.2">
      <c r="A6">
        <v>4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13</v>
      </c>
    </row>
    <row r="7" spans="1:8" x14ac:dyDescent="0.2">
      <c r="A7">
        <v>5</v>
      </c>
      <c r="B7" s="5" t="s">
        <v>29</v>
      </c>
      <c r="C7" s="5" t="s">
        <v>9</v>
      </c>
      <c r="D7" s="5" t="s">
        <v>16</v>
      </c>
      <c r="E7" s="5" t="s">
        <v>30</v>
      </c>
      <c r="F7" s="5" t="s">
        <v>31</v>
      </c>
      <c r="G7" s="5" t="s">
        <v>13</v>
      </c>
    </row>
    <row r="8" spans="1:8" x14ac:dyDescent="0.2">
      <c r="A8">
        <v>6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13</v>
      </c>
      <c r="G8" s="5">
        <v>2</v>
      </c>
    </row>
    <row r="9" spans="1:8" x14ac:dyDescent="0.2">
      <c r="A9">
        <v>7</v>
      </c>
      <c r="B9" s="5" t="s">
        <v>36</v>
      </c>
      <c r="C9" s="5" t="s">
        <v>37</v>
      </c>
      <c r="D9" s="5" t="s">
        <v>10</v>
      </c>
      <c r="E9" s="5" t="s">
        <v>38</v>
      </c>
      <c r="F9" s="5" t="s">
        <v>13</v>
      </c>
      <c r="G9" s="5" t="s">
        <v>13</v>
      </c>
    </row>
    <row r="10" spans="1:8" x14ac:dyDescent="0.2">
      <c r="A10">
        <v>8</v>
      </c>
      <c r="B10" s="5" t="s">
        <v>39</v>
      </c>
      <c r="C10" s="5" t="s">
        <v>10</v>
      </c>
      <c r="D10" s="5" t="s">
        <v>21</v>
      </c>
      <c r="E10" s="5" t="s">
        <v>17</v>
      </c>
      <c r="F10" s="5" t="s">
        <v>40</v>
      </c>
      <c r="G10" s="5" t="s">
        <v>13</v>
      </c>
    </row>
    <row r="12" spans="1:8" ht="28.5" x14ac:dyDescent="0.2">
      <c r="A12" s="9" t="s">
        <v>41</v>
      </c>
      <c r="B12" s="9" t="s">
        <v>42</v>
      </c>
      <c r="C12" s="9" t="s">
        <v>43</v>
      </c>
      <c r="D12" s="9" t="s">
        <v>44</v>
      </c>
      <c r="E12" s="9" t="s">
        <v>45</v>
      </c>
      <c r="F12" s="9" t="s">
        <v>46</v>
      </c>
      <c r="G12" s="11" t="s">
        <v>70</v>
      </c>
    </row>
    <row r="13" spans="1:8" ht="31.5" x14ac:dyDescent="0.25">
      <c r="A13" s="3" t="s">
        <v>47</v>
      </c>
      <c r="B13" s="6">
        <v>1825.33</v>
      </c>
      <c r="C13" s="6">
        <v>2</v>
      </c>
      <c r="D13" s="6">
        <v>912.67</v>
      </c>
      <c r="E13" s="6">
        <v>2.33</v>
      </c>
      <c r="F13" s="6">
        <v>0.13400000000000001</v>
      </c>
      <c r="G13">
        <f>_xlfn.F.INV.RT(0.05, 2, 14)</f>
        <v>3.7388918324407361</v>
      </c>
    </row>
    <row r="14" spans="1:8" ht="31.5" x14ac:dyDescent="0.25">
      <c r="A14" s="3" t="s">
        <v>48</v>
      </c>
      <c r="B14" s="6">
        <v>1289.96</v>
      </c>
      <c r="C14" s="6">
        <v>7</v>
      </c>
      <c r="D14" s="6">
        <v>184.28</v>
      </c>
      <c r="E14" s="2"/>
      <c r="F14" s="2"/>
    </row>
    <row r="15" spans="1:8" ht="31.5" x14ac:dyDescent="0.25">
      <c r="A15" s="3" t="s">
        <v>49</v>
      </c>
      <c r="B15" s="6">
        <v>5488.67</v>
      </c>
      <c r="C15" s="6">
        <v>14</v>
      </c>
      <c r="D15" s="6">
        <v>392.05</v>
      </c>
      <c r="E15" s="2"/>
      <c r="F15" s="2"/>
    </row>
    <row r="16" spans="1:8" ht="15.75" x14ac:dyDescent="0.25">
      <c r="A16" s="3" t="s">
        <v>50</v>
      </c>
      <c r="B16" s="6">
        <v>8603.9599999999991</v>
      </c>
      <c r="C16" s="6">
        <v>23</v>
      </c>
      <c r="D16" s="2"/>
      <c r="E16" s="2"/>
      <c r="F16" s="2"/>
    </row>
    <row r="20" spans="1:7" ht="14.25" x14ac:dyDescent="0.2">
      <c r="A20" s="7" t="s">
        <v>0</v>
      </c>
      <c r="B20" s="7" t="s">
        <v>5</v>
      </c>
      <c r="C20" s="7" t="s">
        <v>6</v>
      </c>
      <c r="D20" s="7" t="s">
        <v>7</v>
      </c>
      <c r="E20" s="7" t="s">
        <v>68</v>
      </c>
      <c r="F20" s="7" t="s">
        <v>69</v>
      </c>
      <c r="G20" s="7"/>
    </row>
    <row r="21" spans="1:7" x14ac:dyDescent="0.2">
      <c r="A21">
        <v>1</v>
      </c>
      <c r="B21">
        <v>41</v>
      </c>
      <c r="C21">
        <v>36</v>
      </c>
      <c r="D21">
        <v>35</v>
      </c>
      <c r="E21">
        <f>SUM(B21:D21)</f>
        <v>112</v>
      </c>
      <c r="F21">
        <f>AVERAGE(B21:D21)</f>
        <v>37.333333333333336</v>
      </c>
    </row>
    <row r="22" spans="1:7" x14ac:dyDescent="0.2">
      <c r="A22">
        <v>2</v>
      </c>
      <c r="B22">
        <v>43</v>
      </c>
      <c r="C22">
        <v>49</v>
      </c>
      <c r="D22">
        <v>67</v>
      </c>
      <c r="E22">
        <f>SUM(B22:D22)</f>
        <v>159</v>
      </c>
      <c r="F22">
        <f>AVERAGE(B22:D22)</f>
        <v>53</v>
      </c>
    </row>
    <row r="23" spans="1:7" x14ac:dyDescent="0.2">
      <c r="A23">
        <v>3</v>
      </c>
      <c r="B23">
        <v>38</v>
      </c>
      <c r="C23">
        <v>39</v>
      </c>
      <c r="D23">
        <v>66</v>
      </c>
      <c r="E23">
        <f>SUM(B23:D23)</f>
        <v>143</v>
      </c>
      <c r="F23">
        <f>AVERAGE(B23:D23)</f>
        <v>47.666666666666664</v>
      </c>
    </row>
    <row r="24" spans="1:7" x14ac:dyDescent="0.2">
      <c r="A24">
        <v>4</v>
      </c>
      <c r="B24">
        <v>55</v>
      </c>
      <c r="C24">
        <v>62</v>
      </c>
      <c r="D24">
        <v>44</v>
      </c>
      <c r="E24">
        <f>SUM(B24:D24)</f>
        <v>161</v>
      </c>
      <c r="F24">
        <f>AVERAGE(B24:D24)</f>
        <v>53.666666666666664</v>
      </c>
    </row>
    <row r="25" spans="1:7" x14ac:dyDescent="0.2">
      <c r="A25">
        <v>5</v>
      </c>
      <c r="B25">
        <v>71</v>
      </c>
      <c r="C25">
        <v>36</v>
      </c>
      <c r="D25">
        <v>67</v>
      </c>
      <c r="E25">
        <f>SUM(B25:D25)</f>
        <v>174</v>
      </c>
      <c r="F25">
        <f>AVERAGE(B25:D25)</f>
        <v>58</v>
      </c>
    </row>
    <row r="26" spans="1:7" x14ac:dyDescent="0.2">
      <c r="A26">
        <v>6</v>
      </c>
      <c r="B26">
        <v>30</v>
      </c>
      <c r="C26">
        <v>34</v>
      </c>
      <c r="D26">
        <v>115</v>
      </c>
      <c r="E26">
        <f>SUM(B26:D26)</f>
        <v>179</v>
      </c>
      <c r="F26">
        <f>AVERAGE(B26:D26)</f>
        <v>59.666666666666664</v>
      </c>
    </row>
    <row r="27" spans="1:7" x14ac:dyDescent="0.2">
      <c r="A27">
        <v>7</v>
      </c>
      <c r="B27">
        <v>37</v>
      </c>
      <c r="C27">
        <v>56</v>
      </c>
      <c r="D27">
        <v>35</v>
      </c>
      <c r="E27">
        <f>SUM(B27:D27)</f>
        <v>128</v>
      </c>
      <c r="F27">
        <f>AVERAGE(B27:D27)</f>
        <v>42.666666666666664</v>
      </c>
    </row>
    <row r="28" spans="1:7" x14ac:dyDescent="0.2">
      <c r="A28">
        <v>8</v>
      </c>
      <c r="B28">
        <v>32</v>
      </c>
      <c r="C28">
        <v>35</v>
      </c>
      <c r="D28">
        <v>66</v>
      </c>
      <c r="E28">
        <f>SUM(B28:D28)</f>
        <v>133</v>
      </c>
      <c r="F28">
        <f>AVERAGE(B28:D28)</f>
        <v>44.333333333333336</v>
      </c>
    </row>
    <row r="30" spans="1:7" ht="14.25" x14ac:dyDescent="0.2">
      <c r="B30" s="7" t="s">
        <v>51</v>
      </c>
      <c r="C30" s="7" t="s">
        <v>52</v>
      </c>
      <c r="D30" s="7" t="s">
        <v>67</v>
      </c>
    </row>
    <row r="31" spans="1:7" x14ac:dyDescent="0.2">
      <c r="B31" t="s">
        <v>5</v>
      </c>
      <c r="C31">
        <f>AVERAGE(B21:B28)</f>
        <v>43.375</v>
      </c>
      <c r="D31">
        <f>VAR(B21:B28)</f>
        <v>183.125</v>
      </c>
    </row>
    <row r="32" spans="1:7" x14ac:dyDescent="0.2">
      <c r="B32" t="s">
        <v>6</v>
      </c>
      <c r="C32">
        <f>AVERAGE(C21:C28)</f>
        <v>43.375</v>
      </c>
      <c r="D32">
        <f>VAR(C21:C28)</f>
        <v>117.69642857142857</v>
      </c>
    </row>
    <row r="33" spans="1:4" x14ac:dyDescent="0.2">
      <c r="B33" t="s">
        <v>7</v>
      </c>
      <c r="C33">
        <f>AVERAGE(D21:D28)</f>
        <v>61.875</v>
      </c>
      <c r="D33">
        <f>VAR(D21:D28)</f>
        <v>667.55357142857144</v>
      </c>
    </row>
    <row r="35" spans="1:4" ht="14.25" x14ac:dyDescent="0.2">
      <c r="A35" s="7" t="s">
        <v>53</v>
      </c>
      <c r="B35" s="7" t="s">
        <v>54</v>
      </c>
    </row>
    <row r="36" spans="1:4" x14ac:dyDescent="0.2">
      <c r="A36" t="s">
        <v>55</v>
      </c>
      <c r="B36">
        <v>5</v>
      </c>
    </row>
    <row r="37" spans="1:4" x14ac:dyDescent="0.2">
      <c r="A37" t="s">
        <v>56</v>
      </c>
      <c r="B37">
        <v>3</v>
      </c>
    </row>
    <row r="38" spans="1:4" x14ac:dyDescent="0.2">
      <c r="A38" t="s">
        <v>57</v>
      </c>
      <c r="B38">
        <v>1</v>
      </c>
    </row>
    <row r="39" spans="1:4" x14ac:dyDescent="0.2">
      <c r="A39" t="s">
        <v>38</v>
      </c>
      <c r="B39">
        <v>1</v>
      </c>
    </row>
    <row r="40" spans="1:4" x14ac:dyDescent="0.2">
      <c r="A40" t="s">
        <v>50</v>
      </c>
      <c r="B40">
        <f>SUM(J2:J5)</f>
        <v>0</v>
      </c>
    </row>
    <row r="43" spans="1:4" ht="14.25" x14ac:dyDescent="0.2">
      <c r="A43" s="7" t="s">
        <v>0</v>
      </c>
      <c r="B43" s="7" t="s">
        <v>58</v>
      </c>
    </row>
    <row r="44" spans="1:4" x14ac:dyDescent="0.2">
      <c r="A44" t="s">
        <v>59</v>
      </c>
      <c r="B44">
        <v>1.5</v>
      </c>
    </row>
    <row r="45" spans="1:4" x14ac:dyDescent="0.2">
      <c r="A45" t="s">
        <v>60</v>
      </c>
      <c r="B45">
        <v>3</v>
      </c>
    </row>
    <row r="46" spans="1:4" x14ac:dyDescent="0.2">
      <c r="A46" t="s">
        <v>61</v>
      </c>
      <c r="B46">
        <v>4</v>
      </c>
    </row>
    <row r="47" spans="1:4" x14ac:dyDescent="0.2">
      <c r="A47" t="s">
        <v>62</v>
      </c>
      <c r="B47">
        <v>2</v>
      </c>
    </row>
    <row r="48" spans="1:4" x14ac:dyDescent="0.2">
      <c r="A48" t="s">
        <v>63</v>
      </c>
      <c r="B48">
        <v>2</v>
      </c>
    </row>
    <row r="49" spans="1:4" x14ac:dyDescent="0.2">
      <c r="A49" t="s">
        <v>64</v>
      </c>
      <c r="B49">
        <v>1</v>
      </c>
    </row>
    <row r="50" spans="1:4" x14ac:dyDescent="0.2">
      <c r="A50" t="s">
        <v>65</v>
      </c>
      <c r="B50">
        <v>0</v>
      </c>
    </row>
    <row r="51" spans="1:4" x14ac:dyDescent="0.2">
      <c r="A51" t="s">
        <v>66</v>
      </c>
      <c r="B51">
        <v>3</v>
      </c>
    </row>
    <row r="53" spans="1:4" ht="14.25" x14ac:dyDescent="0.2">
      <c r="A53" s="7" t="s">
        <v>0</v>
      </c>
      <c r="B53" s="7" t="s">
        <v>5</v>
      </c>
      <c r="C53" s="7" t="s">
        <v>6</v>
      </c>
      <c r="D53" s="7" t="s">
        <v>7</v>
      </c>
    </row>
    <row r="54" spans="1:4" x14ac:dyDescent="0.2">
      <c r="A54">
        <v>1</v>
      </c>
      <c r="B54">
        <v>41</v>
      </c>
      <c r="C54">
        <v>36</v>
      </c>
      <c r="D54">
        <v>35</v>
      </c>
    </row>
    <row r="55" spans="1:4" x14ac:dyDescent="0.2">
      <c r="A55">
        <v>2</v>
      </c>
      <c r="B55">
        <v>43</v>
      </c>
      <c r="C55">
        <v>49</v>
      </c>
      <c r="D55">
        <v>67</v>
      </c>
    </row>
    <row r="56" spans="1:4" x14ac:dyDescent="0.2">
      <c r="A56">
        <v>3</v>
      </c>
      <c r="B56">
        <v>38</v>
      </c>
      <c r="C56">
        <v>39</v>
      </c>
      <c r="D56">
        <v>66</v>
      </c>
    </row>
    <row r="57" spans="1:4" x14ac:dyDescent="0.2">
      <c r="A57">
        <v>4</v>
      </c>
      <c r="B57">
        <v>55</v>
      </c>
      <c r="C57">
        <v>62</v>
      </c>
      <c r="D57">
        <v>44</v>
      </c>
    </row>
    <row r="58" spans="1:4" x14ac:dyDescent="0.2">
      <c r="A58">
        <v>5</v>
      </c>
      <c r="B58">
        <v>71</v>
      </c>
      <c r="C58">
        <v>36</v>
      </c>
      <c r="D58">
        <v>67</v>
      </c>
    </row>
    <row r="59" spans="1:4" x14ac:dyDescent="0.2">
      <c r="A59">
        <v>6</v>
      </c>
      <c r="B59">
        <v>30</v>
      </c>
      <c r="C59">
        <v>34</v>
      </c>
      <c r="D59">
        <v>115</v>
      </c>
    </row>
    <row r="60" spans="1:4" x14ac:dyDescent="0.2">
      <c r="A60">
        <v>7</v>
      </c>
      <c r="B60">
        <v>37</v>
      </c>
      <c r="C60">
        <v>56</v>
      </c>
      <c r="D60">
        <v>35</v>
      </c>
    </row>
    <row r="61" spans="1:4" x14ac:dyDescent="0.2">
      <c r="A61">
        <v>8</v>
      </c>
      <c r="B61">
        <v>32</v>
      </c>
      <c r="C61">
        <v>35</v>
      </c>
      <c r="D61">
        <v>66</v>
      </c>
    </row>
  </sheetData>
  <mergeCells count="1">
    <mergeCell ref="B1:D1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Wael</dc:creator>
  <dc:description/>
  <cp:lastModifiedBy>Mohamed Abdelmenem</cp:lastModifiedBy>
  <cp:revision>3</cp:revision>
  <dcterms:created xsi:type="dcterms:W3CDTF">2026-05-19T01:32:43Z</dcterms:created>
  <dcterms:modified xsi:type="dcterms:W3CDTF">2026-05-19T02:01:26Z</dcterms:modified>
  <dc:language>en-US</dc:language>
</cp:coreProperties>
</file>